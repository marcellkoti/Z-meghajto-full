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_Triatlon\"/>
    </mc:Choice>
  </mc:AlternateContent>
  <xr:revisionPtr revIDLastSave="0" documentId="13_ncr:1_{11B61778-98A3-492F-8E61-3C4711B13455}" xr6:coauthVersionLast="36" xr6:coauthVersionMax="36" xr10:uidLastSave="{00000000-0000-0000-0000-000000000000}"/>
  <bookViews>
    <workbookView xWindow="0" yWindow="0" windowWidth="21600" windowHeight="9405" xr2:uid="{A1B11BD7-47AC-4E09-B20D-DA47B1236067}"/>
  </bookViews>
  <sheets>
    <sheet name="Triatlon" sheetId="1" r:id="rId1"/>
  </sheets>
  <definedNames>
    <definedName name="KülsőAdatok_1" localSheetId="0" hidden="1">Triatlon!$A$1:$F$18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2" i="1"/>
  <c r="I3" i="1"/>
  <c r="I4" i="1"/>
  <c r="I2" i="1"/>
  <c r="G32" i="1" l="1"/>
  <c r="G24" i="1"/>
  <c r="G27" i="1"/>
  <c r="G22" i="1"/>
  <c r="G23" i="1"/>
  <c r="G25" i="1"/>
  <c r="G26" i="1"/>
  <c r="G28" i="1"/>
  <c r="G29" i="1"/>
  <c r="G30" i="1"/>
  <c r="G31" i="1"/>
  <c r="G33" i="1"/>
  <c r="G34" i="1"/>
  <c r="G35" i="1"/>
  <c r="G36" i="1"/>
  <c r="G37" i="1"/>
  <c r="G21" i="1"/>
  <c r="D39" i="1"/>
  <c r="F39" i="1"/>
  <c r="B39" i="1"/>
  <c r="B38" i="1"/>
  <c r="F38" i="1"/>
  <c r="D38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D21" i="1"/>
  <c r="E21" i="1"/>
  <c r="F21" i="1"/>
  <c r="C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21" i="1"/>
  <c r="B20" i="1"/>
  <c r="C20" i="1"/>
  <c r="D20" i="1"/>
  <c r="E20" i="1"/>
  <c r="F20" i="1"/>
  <c r="A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63F49-106A-4F26-8E42-2E480E02E669}" keepAlive="1" name="Lekérdezés - adatok" description="A munkafüzetben levő „adatok” lekérdezés kapcsolata" type="5" refreshedVersion="6" background="1" saveData="1">
    <dbPr connection="Provider=Microsoft.Mashup.OleDb.1;Data Source=$Workbook$;Location=adatok;Extended Properties=&quot;&quot;" command="SELECT * FROM [adatok]"/>
  </connection>
</connections>
</file>

<file path=xl/sharedStrings.xml><?xml version="1.0" encoding="utf-8"?>
<sst xmlns="http://schemas.openxmlformats.org/spreadsheetml/2006/main" count="27" uniqueCount="27">
  <si>
    <t>Csapat neve</t>
  </si>
  <si>
    <t>Úszás</t>
  </si>
  <si>
    <t>Depó1</t>
  </si>
  <si>
    <t>Kerékpár</t>
  </si>
  <si>
    <t>Depó2</t>
  </si>
  <si>
    <t>Futás</t>
  </si>
  <si>
    <t>Bróker Brothers</t>
  </si>
  <si>
    <t>Cél Acél</t>
  </si>
  <si>
    <t>Csavar Go</t>
  </si>
  <si>
    <t>Cserép Veréb</t>
  </si>
  <si>
    <t>Fini Serkék</t>
  </si>
  <si>
    <t>Harcos Arcok</t>
  </si>
  <si>
    <t>Kicsit én is</t>
  </si>
  <si>
    <t>Küzd Elem</t>
  </si>
  <si>
    <t>Minden Baja</t>
  </si>
  <si>
    <t>Mindhal Állig</t>
  </si>
  <si>
    <t>Sebe Sültek</t>
  </si>
  <si>
    <t>Sebes Ebes</t>
  </si>
  <si>
    <t>Tatu Team</t>
  </si>
  <si>
    <t>Tündérek</t>
  </si>
  <si>
    <t>Úszómászók</t>
  </si>
  <si>
    <t>UtánFutók</t>
  </si>
  <si>
    <t>Zirci Mircik</t>
  </si>
  <si>
    <t>Átlag</t>
  </si>
  <si>
    <t>Legjobb</t>
  </si>
  <si>
    <t>Csak sportidő</t>
  </si>
  <si>
    <t>Dobogósok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</si>
</sst>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ál" xfId="0" builtinId="0"/>
  </cellStyles>
  <dxfs count="5"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FED11DE7-8592-4200-BC67-2181E7CE269B}" autoFormatId="16" applyNumberFormats="0" applyBorderFormats="0" applyFontFormats="0" applyPatternFormats="0" applyAlignmentFormats="0" applyWidthHeightFormats="0">
  <queryTableRefresh nextId="7">
    <queryTableFields count="6">
      <queryTableField id="1" name="Csapat neve" tableColumnId="1"/>
      <queryTableField id="2" name="Úszás" tableColumnId="2"/>
      <queryTableField id="3" name="Depó1" tableColumnId="3"/>
      <queryTableField id="4" name="Kerékpár" tableColumnId="4"/>
      <queryTableField id="5" name="Depó2" tableColumnId="5"/>
      <queryTableField id="6" name="Futá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34A1B-C741-43C1-A1A4-6E6570000098}" name="adatok" displayName="adatok" ref="A1:F19" tableType="queryTable" totalsRowCount="1">
  <autoFilter ref="A1:F18" xr:uid="{BBC9D431-F352-4BAA-A59C-731A1385EB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54EB91D-16E9-43BE-A592-93ECCCE8E986}" uniqueName="1" name="Csapat neve" queryTableFieldId="1"/>
    <tableColumn id="2" xr3:uid="{3DB3B263-A60F-4226-B3E6-4FCBF576F391}" uniqueName="2" name="Úszás" queryTableFieldId="2" dataDxfId="4"/>
    <tableColumn id="3" xr3:uid="{0E70C1AD-8EA3-474C-B67B-FC1BC54FF03B}" uniqueName="3" name="Depó1" queryTableFieldId="3" dataDxfId="3"/>
    <tableColumn id="4" xr3:uid="{5196D506-AECB-450C-A301-2E5314E1C946}" uniqueName="4" name="Kerékpár" queryTableFieldId="4" dataDxfId="2"/>
    <tableColumn id="5" xr3:uid="{7336D177-35DB-4416-A905-841767634EA3}" uniqueName="5" name="Depó2" queryTableFieldId="5" dataDxfId="1"/>
    <tableColumn id="6" xr3:uid="{F1461481-C26F-4A94-BADF-52B86480043F}" uniqueName="6" name="Futás" queryTableFieldId="6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9042-10C9-4837-A0BC-7F932CC3A0A4}">
  <dimension ref="A1:J40"/>
  <sheetViews>
    <sheetView tabSelected="1" topLeftCell="A7" workbookViewId="0">
      <selection activeCell="J32" sqref="J32"/>
    </sheetView>
  </sheetViews>
  <sheetFormatPr defaultRowHeight="15" x14ac:dyDescent="0.25"/>
  <cols>
    <col min="1" max="1" width="15" bestFit="1" customWidth="1"/>
    <col min="2" max="6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26</v>
      </c>
      <c r="I1" s="2"/>
      <c r="J1" s="2"/>
    </row>
    <row r="2" spans="1:10" x14ac:dyDescent="0.25">
      <c r="A2" t="s">
        <v>6</v>
      </c>
      <c r="B2" s="1">
        <v>2.3055555555555555E-2</v>
      </c>
      <c r="C2" s="1">
        <v>2.4212962962962964E-2</v>
      </c>
      <c r="D2" s="1">
        <v>0.16324074074074074</v>
      </c>
      <c r="E2" s="1">
        <v>0.16399305555555554</v>
      </c>
      <c r="F2" s="1">
        <v>0.25274305555555554</v>
      </c>
      <c r="H2">
        <v>1</v>
      </c>
      <c r="I2" s="1">
        <f>SMALL(adatok[Futás],H2)</f>
        <v>0.17678240740740742</v>
      </c>
      <c r="J2" t="str">
        <f>INDEX(adatok[Csapat neve],MATCH(I2,adatok[Futás],))</f>
        <v>Kicsit én is</v>
      </c>
    </row>
    <row r="3" spans="1:10" x14ac:dyDescent="0.25">
      <c r="A3" t="s">
        <v>7</v>
      </c>
      <c r="B3" s="1">
        <v>3.2083333333333332E-2</v>
      </c>
      <c r="C3" s="1">
        <v>3.5185185185185187E-2</v>
      </c>
      <c r="D3" s="1">
        <v>0.16892361111111112</v>
      </c>
      <c r="E3" s="1">
        <v>0.16947916666666665</v>
      </c>
      <c r="F3" s="1">
        <v>0.25255787037037036</v>
      </c>
      <c r="H3">
        <v>2</v>
      </c>
      <c r="I3" s="1">
        <f>SMALL(adatok[Futás],H3)</f>
        <v>0.20221064814814815</v>
      </c>
      <c r="J3" t="str">
        <f>INDEX(adatok[Csapat neve],MATCH(I3,adatok[Futás],))</f>
        <v>Zirci Mircik</v>
      </c>
    </row>
    <row r="4" spans="1:10" x14ac:dyDescent="0.25">
      <c r="A4" t="s">
        <v>8</v>
      </c>
      <c r="B4" s="1">
        <v>2.1585648148148149E-2</v>
      </c>
      <c r="C4" s="1">
        <v>2.3032407407407408E-2</v>
      </c>
      <c r="D4" s="1">
        <v>0.18129629629629629</v>
      </c>
      <c r="E4" s="1">
        <v>0.18179398148148149</v>
      </c>
      <c r="F4" s="1">
        <v>0.26826388888888891</v>
      </c>
      <c r="H4">
        <v>3</v>
      </c>
      <c r="I4" s="1">
        <f>SMALL(adatok[Futás],H4)</f>
        <v>0.20306712962962964</v>
      </c>
      <c r="J4" t="str">
        <f>INDEX(adatok[Csapat neve],MATCH(I4,adatok[Futás],))</f>
        <v>Küzd Elem</v>
      </c>
    </row>
    <row r="5" spans="1:10" x14ac:dyDescent="0.25">
      <c r="A5" t="s">
        <v>9</v>
      </c>
      <c r="B5" s="1">
        <v>2.508101851851852E-2</v>
      </c>
      <c r="C5" s="1">
        <v>2.6157407407407407E-2</v>
      </c>
      <c r="D5" s="1">
        <v>0.1492013888888889</v>
      </c>
      <c r="E5" s="1">
        <v>0.14961805555555555</v>
      </c>
      <c r="F5" s="1">
        <v>0.22408564814814816</v>
      </c>
    </row>
    <row r="6" spans="1:10" x14ac:dyDescent="0.25">
      <c r="A6" t="s">
        <v>10</v>
      </c>
      <c r="B6" s="1">
        <v>3.0266203703703705E-2</v>
      </c>
      <c r="C6" s="1">
        <v>3.1377314814814816E-2</v>
      </c>
      <c r="D6" s="1">
        <v>0.16173611111111111</v>
      </c>
      <c r="E6" s="1">
        <v>0.16225694444444444</v>
      </c>
      <c r="F6" s="1">
        <v>0.23734953703703704</v>
      </c>
    </row>
    <row r="7" spans="1:10" x14ac:dyDescent="0.25">
      <c r="A7" t="s">
        <v>11</v>
      </c>
      <c r="B7" s="1">
        <v>2.7858796296296295E-2</v>
      </c>
      <c r="C7" s="1">
        <v>3.0833333333333334E-2</v>
      </c>
      <c r="D7" s="1">
        <v>0.1620601851851852</v>
      </c>
      <c r="E7" s="1">
        <v>0.16261574074074073</v>
      </c>
      <c r="F7" s="1">
        <v>0.23614583333333333</v>
      </c>
    </row>
    <row r="8" spans="1:10" x14ac:dyDescent="0.25">
      <c r="A8" t="s">
        <v>12</v>
      </c>
      <c r="B8" s="1">
        <v>1.96875E-2</v>
      </c>
      <c r="C8" s="1">
        <v>2.0752314814814814E-2</v>
      </c>
      <c r="D8" s="1">
        <v>0.11454861111111111</v>
      </c>
      <c r="E8" s="1">
        <v>0.11484953703703704</v>
      </c>
      <c r="F8" s="1">
        <v>0.17678240740740742</v>
      </c>
    </row>
    <row r="9" spans="1:10" x14ac:dyDescent="0.25">
      <c r="A9" t="s">
        <v>13</v>
      </c>
      <c r="B9" s="1">
        <v>2.150462962962963E-2</v>
      </c>
      <c r="C9" s="1">
        <v>2.2569444444444444E-2</v>
      </c>
      <c r="D9" s="1">
        <v>0.13401620370370371</v>
      </c>
      <c r="E9" s="1">
        <v>0.13452546296296297</v>
      </c>
      <c r="F9" s="1">
        <v>0.20306712962962964</v>
      </c>
    </row>
    <row r="10" spans="1:10" x14ac:dyDescent="0.25">
      <c r="A10" t="s">
        <v>14</v>
      </c>
      <c r="B10" s="1">
        <v>2.0023148148148148E-2</v>
      </c>
      <c r="C10" s="1">
        <v>2.2094907407407407E-2</v>
      </c>
      <c r="D10" s="1">
        <v>0.14678240740740742</v>
      </c>
      <c r="E10" s="1">
        <v>0.14891203703703704</v>
      </c>
      <c r="F10" s="1">
        <v>0.21666666666666667</v>
      </c>
    </row>
    <row r="11" spans="1:10" x14ac:dyDescent="0.25">
      <c r="A11" t="s">
        <v>15</v>
      </c>
      <c r="B11" s="1">
        <v>2.3148148148148147E-2</v>
      </c>
      <c r="C11" s="1">
        <v>2.4293981481481482E-2</v>
      </c>
      <c r="D11" s="1">
        <v>0.15613425925925925</v>
      </c>
      <c r="E11" s="1">
        <v>0.15671296296296297</v>
      </c>
      <c r="F11" s="1">
        <v>0.21488425925925925</v>
      </c>
    </row>
    <row r="12" spans="1:10" x14ac:dyDescent="0.25">
      <c r="A12" t="s">
        <v>16</v>
      </c>
      <c r="B12" s="1">
        <v>2.8125000000000001E-2</v>
      </c>
      <c r="C12" s="1">
        <v>2.9351851851851851E-2</v>
      </c>
      <c r="D12" s="1">
        <v>0.14993055555555557</v>
      </c>
      <c r="E12" s="1">
        <v>0.1504398148148148</v>
      </c>
      <c r="F12" s="1">
        <v>0.22118055555555555</v>
      </c>
    </row>
    <row r="13" spans="1:10" x14ac:dyDescent="0.25">
      <c r="A13" t="s">
        <v>17</v>
      </c>
      <c r="B13" s="1">
        <v>2.3090277777777779E-2</v>
      </c>
      <c r="C13" s="1">
        <v>2.449074074074074E-2</v>
      </c>
      <c r="D13" s="1">
        <v>0.18556712962962962</v>
      </c>
      <c r="E13" s="1">
        <v>0.18608796296296296</v>
      </c>
      <c r="F13" s="1">
        <v>0.27265046296296297</v>
      </c>
    </row>
    <row r="14" spans="1:10" x14ac:dyDescent="0.25">
      <c r="A14" t="s">
        <v>18</v>
      </c>
      <c r="B14" s="1">
        <v>2.6875E-2</v>
      </c>
      <c r="C14" s="1">
        <v>2.8576388888888887E-2</v>
      </c>
      <c r="D14" s="1">
        <v>0.17674768518518519</v>
      </c>
      <c r="E14" s="1">
        <v>0.18608796296296296</v>
      </c>
      <c r="F14" s="1">
        <v>0.27265046296296297</v>
      </c>
    </row>
    <row r="15" spans="1:10" x14ac:dyDescent="0.25">
      <c r="A15" t="s">
        <v>19</v>
      </c>
      <c r="B15" s="1">
        <v>2.3472222222222221E-2</v>
      </c>
      <c r="C15" s="1">
        <v>2.480324074074074E-2</v>
      </c>
      <c r="D15" s="1">
        <v>0.15862268518518519</v>
      </c>
      <c r="E15" s="1">
        <v>0.1590625</v>
      </c>
      <c r="F15" s="1">
        <v>0.2324074074074074</v>
      </c>
    </row>
    <row r="16" spans="1:10" x14ac:dyDescent="0.25">
      <c r="A16" t="s">
        <v>20</v>
      </c>
      <c r="B16" s="1">
        <v>3.9710648148148148E-2</v>
      </c>
      <c r="C16" s="1">
        <v>4.1134259259259259E-2</v>
      </c>
      <c r="D16" s="1">
        <v>0.1957986111111111</v>
      </c>
      <c r="E16" s="1">
        <v>0.19626157407407407</v>
      </c>
      <c r="F16" s="1">
        <v>0.29920138888888886</v>
      </c>
    </row>
    <row r="17" spans="1:7" x14ac:dyDescent="0.25">
      <c r="A17" t="s">
        <v>21</v>
      </c>
      <c r="B17" s="1">
        <v>1.9722222222222221E-2</v>
      </c>
      <c r="C17" s="1">
        <v>2.0613425925925927E-2</v>
      </c>
      <c r="D17" s="1">
        <v>0.16181712962962963</v>
      </c>
      <c r="E17" s="1">
        <v>0.1623263888888889</v>
      </c>
      <c r="F17" s="1">
        <v>0.23166666666666666</v>
      </c>
    </row>
    <row r="18" spans="1:7" x14ac:dyDescent="0.25">
      <c r="A18" t="s">
        <v>22</v>
      </c>
      <c r="B18" s="1">
        <v>2.2870370370370371E-2</v>
      </c>
      <c r="C18" s="1">
        <v>2.4074074074074074E-2</v>
      </c>
      <c r="D18" s="1">
        <v>0.13065972222222222</v>
      </c>
      <c r="E18" s="1">
        <v>0.13123842592592594</v>
      </c>
      <c r="F18" s="1">
        <v>0.20221064814814815</v>
      </c>
    </row>
    <row r="20" spans="1:7" x14ac:dyDescent="0.25">
      <c r="A20" t="str">
        <f>adatok[[#Headers],[Csapat neve]]</f>
        <v>Csapat neve</v>
      </c>
      <c r="B20" t="str">
        <f>adatok[[#Headers],[Úszás]]</f>
        <v>Úszás</v>
      </c>
      <c r="C20" t="str">
        <f>adatok[[#Headers],[Depó1]]</f>
        <v>Depó1</v>
      </c>
      <c r="D20" t="str">
        <f>adatok[[#Headers],[Kerékpár]]</f>
        <v>Kerékpár</v>
      </c>
      <c r="E20" t="str">
        <f>adatok[[#Headers],[Depó2]]</f>
        <v>Depó2</v>
      </c>
      <c r="F20" t="str">
        <f>adatok[[#Headers],[Futás]]</f>
        <v>Futás</v>
      </c>
      <c r="G20" t="s">
        <v>25</v>
      </c>
    </row>
    <row r="21" spans="1:7" x14ac:dyDescent="0.25">
      <c r="A21" t="str">
        <f>A2</f>
        <v>Bróker Brothers</v>
      </c>
      <c r="B21" s="1">
        <f>B2</f>
        <v>2.3055555555555555E-2</v>
      </c>
      <c r="C21" s="1">
        <f>C2-B2</f>
        <v>1.1574074074074091E-3</v>
      </c>
      <c r="D21" s="1">
        <f t="shared" ref="D21:F21" si="0">D2-C2</f>
        <v>0.13902777777777778</v>
      </c>
      <c r="E21" s="1">
        <f t="shared" si="0"/>
        <v>7.5231481481480289E-4</v>
      </c>
      <c r="F21" s="1">
        <f t="shared" si="0"/>
        <v>8.8749999999999996E-2</v>
      </c>
      <c r="G21" s="1">
        <f>B21+D21+F21</f>
        <v>0.25083333333333335</v>
      </c>
    </row>
    <row r="22" spans="1:7" x14ac:dyDescent="0.25">
      <c r="A22" t="str">
        <f t="shared" ref="A22:A37" si="1">A3</f>
        <v>Cél Acél</v>
      </c>
      <c r="B22" s="1">
        <f t="shared" ref="B22:B37" si="2">B3</f>
        <v>3.2083333333333332E-2</v>
      </c>
      <c r="C22" s="1">
        <f t="shared" ref="C22:F22" si="3">C3-B3</f>
        <v>3.1018518518518556E-3</v>
      </c>
      <c r="D22" s="1">
        <f t="shared" si="3"/>
        <v>0.13373842592592594</v>
      </c>
      <c r="E22" s="1">
        <f t="shared" si="3"/>
        <v>5.5555555555553138E-4</v>
      </c>
      <c r="F22" s="1">
        <f t="shared" si="3"/>
        <v>8.307870370370371E-2</v>
      </c>
      <c r="G22" s="1">
        <f t="shared" ref="G22:G37" si="4">B22+D22+F22</f>
        <v>0.24890046296296298</v>
      </c>
    </row>
    <row r="23" spans="1:7" x14ac:dyDescent="0.25">
      <c r="A23" t="str">
        <f t="shared" si="1"/>
        <v>Csavar Go</v>
      </c>
      <c r="B23" s="1">
        <f t="shared" si="2"/>
        <v>2.1585648148148149E-2</v>
      </c>
      <c r="C23" s="1">
        <f t="shared" ref="C23:F23" si="5">C4-B4</f>
        <v>1.4467592592592587E-3</v>
      </c>
      <c r="D23" s="1">
        <f t="shared" si="5"/>
        <v>0.15826388888888887</v>
      </c>
      <c r="E23" s="1">
        <f t="shared" si="5"/>
        <v>4.9768518518519822E-4</v>
      </c>
      <c r="F23" s="1">
        <f t="shared" si="5"/>
        <v>8.6469907407407426E-2</v>
      </c>
      <c r="G23" s="1">
        <f t="shared" si="4"/>
        <v>0.26631944444444444</v>
      </c>
    </row>
    <row r="24" spans="1:7" x14ac:dyDescent="0.25">
      <c r="A24" t="str">
        <f t="shared" si="1"/>
        <v>Cserép Veréb</v>
      </c>
      <c r="B24" s="1">
        <f t="shared" si="2"/>
        <v>2.508101851851852E-2</v>
      </c>
      <c r="C24" s="1">
        <f t="shared" ref="C24:F24" si="6">C5-B5</f>
        <v>1.0763888888888871E-3</v>
      </c>
      <c r="D24" s="1">
        <f t="shared" si="6"/>
        <v>0.12304398148148149</v>
      </c>
      <c r="E24" s="1">
        <f t="shared" si="6"/>
        <v>4.1666666666664853E-4</v>
      </c>
      <c r="F24" s="1">
        <f t="shared" si="6"/>
        <v>7.4467592592592613E-2</v>
      </c>
      <c r="G24" s="1">
        <f>B24+D24+F24</f>
        <v>0.22259259259259262</v>
      </c>
    </row>
    <row r="25" spans="1:7" x14ac:dyDescent="0.25">
      <c r="A25" t="str">
        <f t="shared" si="1"/>
        <v>Fini Serkék</v>
      </c>
      <c r="B25" s="1">
        <f t="shared" si="2"/>
        <v>3.0266203703703705E-2</v>
      </c>
      <c r="C25" s="1">
        <f t="shared" ref="C25:F25" si="7">C6-B6</f>
        <v>1.1111111111111113E-3</v>
      </c>
      <c r="D25" s="1">
        <f t="shared" si="7"/>
        <v>0.13035879629629629</v>
      </c>
      <c r="E25" s="1">
        <f t="shared" si="7"/>
        <v>5.2083333333333148E-4</v>
      </c>
      <c r="F25" s="1">
        <f t="shared" si="7"/>
        <v>7.50925925925926E-2</v>
      </c>
      <c r="G25" s="1">
        <f t="shared" si="4"/>
        <v>0.23571759259259259</v>
      </c>
    </row>
    <row r="26" spans="1:7" x14ac:dyDescent="0.25">
      <c r="A26" t="str">
        <f t="shared" si="1"/>
        <v>Harcos Arcok</v>
      </c>
      <c r="B26" s="1">
        <f t="shared" si="2"/>
        <v>2.7858796296296295E-2</v>
      </c>
      <c r="C26" s="1">
        <f t="shared" ref="C26:F26" si="8">C7-B7</f>
        <v>2.9745370370370394E-3</v>
      </c>
      <c r="D26" s="1">
        <f t="shared" si="8"/>
        <v>0.13122685185185187</v>
      </c>
      <c r="E26" s="1">
        <f t="shared" si="8"/>
        <v>5.5555555555553138E-4</v>
      </c>
      <c r="F26" s="1">
        <f t="shared" si="8"/>
        <v>7.3530092592592605E-2</v>
      </c>
      <c r="G26" s="1">
        <f t="shared" si="4"/>
        <v>0.23261574074074076</v>
      </c>
    </row>
    <row r="27" spans="1:7" x14ac:dyDescent="0.25">
      <c r="A27" t="str">
        <f t="shared" si="1"/>
        <v>Kicsit én is</v>
      </c>
      <c r="B27" s="1">
        <f t="shared" si="2"/>
        <v>1.96875E-2</v>
      </c>
      <c r="C27" s="1">
        <f t="shared" ref="C27:F27" si="9">C8-B8</f>
        <v>1.0648148148148136E-3</v>
      </c>
      <c r="D27" s="1">
        <f t="shared" si="9"/>
        <v>9.3796296296296294E-2</v>
      </c>
      <c r="E27" s="1">
        <f t="shared" si="9"/>
        <v>3.0092592592592671E-4</v>
      </c>
      <c r="F27" s="1">
        <f t="shared" si="9"/>
        <v>6.1932870370370374E-2</v>
      </c>
      <c r="G27" s="1">
        <f>B27+D27+F27</f>
        <v>0.17541666666666667</v>
      </c>
    </row>
    <row r="28" spans="1:7" x14ac:dyDescent="0.25">
      <c r="A28" t="str">
        <f t="shared" si="1"/>
        <v>Küzd Elem</v>
      </c>
      <c r="B28" s="1">
        <f t="shared" si="2"/>
        <v>2.150462962962963E-2</v>
      </c>
      <c r="C28" s="1">
        <f t="shared" ref="C28:F28" si="10">C9-B9</f>
        <v>1.0648148148148136E-3</v>
      </c>
      <c r="D28" s="1">
        <f t="shared" si="10"/>
        <v>0.11144675925925926</v>
      </c>
      <c r="E28" s="1">
        <f t="shared" si="10"/>
        <v>5.0925925925926485E-4</v>
      </c>
      <c r="F28" s="1">
        <f t="shared" si="10"/>
        <v>6.8541666666666667E-2</v>
      </c>
      <c r="G28" s="1">
        <f t="shared" si="4"/>
        <v>0.20149305555555555</v>
      </c>
    </row>
    <row r="29" spans="1:7" x14ac:dyDescent="0.25">
      <c r="A29" t="str">
        <f t="shared" si="1"/>
        <v>Minden Baja</v>
      </c>
      <c r="B29" s="1">
        <f t="shared" si="2"/>
        <v>2.0023148148148148E-2</v>
      </c>
      <c r="C29" s="1">
        <f t="shared" ref="C29:F29" si="11">C10-B10</f>
        <v>2.0717592592592593E-3</v>
      </c>
      <c r="D29" s="1">
        <f t="shared" si="11"/>
        <v>0.12468750000000001</v>
      </c>
      <c r="E29" s="1">
        <f t="shared" si="11"/>
        <v>2.1296296296296202E-3</v>
      </c>
      <c r="F29" s="1">
        <f t="shared" si="11"/>
        <v>6.7754629629629637E-2</v>
      </c>
      <c r="G29" s="1">
        <f t="shared" si="4"/>
        <v>0.21246527777777779</v>
      </c>
    </row>
    <row r="30" spans="1:7" x14ac:dyDescent="0.25">
      <c r="A30" t="str">
        <f t="shared" si="1"/>
        <v>Mindhal Állig</v>
      </c>
      <c r="B30" s="1">
        <f t="shared" si="2"/>
        <v>2.3148148148148147E-2</v>
      </c>
      <c r="C30" s="1">
        <f t="shared" ref="C30:F30" si="12">C11-B11</f>
        <v>1.1458333333333355E-3</v>
      </c>
      <c r="D30" s="1">
        <f t="shared" si="12"/>
        <v>0.13184027777777776</v>
      </c>
      <c r="E30" s="1">
        <f t="shared" si="12"/>
        <v>5.7870370370372015E-4</v>
      </c>
      <c r="F30" s="1">
        <f t="shared" si="12"/>
        <v>5.8171296296296277E-2</v>
      </c>
      <c r="G30" s="1">
        <f t="shared" si="4"/>
        <v>0.21315972222222218</v>
      </c>
    </row>
    <row r="31" spans="1:7" x14ac:dyDescent="0.25">
      <c r="A31" t="str">
        <f t="shared" si="1"/>
        <v>Sebe Sültek</v>
      </c>
      <c r="B31" s="1">
        <f t="shared" si="2"/>
        <v>2.8125000000000001E-2</v>
      </c>
      <c r="C31" s="1">
        <f t="shared" ref="C31:F31" si="13">C12-B12</f>
        <v>1.2268518518518505E-3</v>
      </c>
      <c r="D31" s="1">
        <f t="shared" si="13"/>
        <v>0.12057870370370372</v>
      </c>
      <c r="E31" s="1">
        <f t="shared" si="13"/>
        <v>5.092592592592371E-4</v>
      </c>
      <c r="F31" s="1">
        <f t="shared" si="13"/>
        <v>7.0740740740740743E-2</v>
      </c>
      <c r="G31" s="1">
        <f t="shared" si="4"/>
        <v>0.21944444444444447</v>
      </c>
    </row>
    <row r="32" spans="1:7" x14ac:dyDescent="0.25">
      <c r="A32" t="str">
        <f t="shared" si="1"/>
        <v>Sebes Ebes</v>
      </c>
      <c r="B32" s="1">
        <f t="shared" si="2"/>
        <v>2.3090277777777779E-2</v>
      </c>
      <c r="C32" s="1">
        <f t="shared" ref="C32:F32" si="14">C13-B13</f>
        <v>1.400462962962961E-3</v>
      </c>
      <c r="D32" s="1">
        <f t="shared" si="14"/>
        <v>0.16107638888888889</v>
      </c>
      <c r="E32" s="1">
        <f t="shared" si="14"/>
        <v>5.2083333333333148E-4</v>
      </c>
      <c r="F32" s="1">
        <f t="shared" si="14"/>
        <v>8.6562500000000014E-2</v>
      </c>
      <c r="G32" s="1">
        <f>B32+D32+F32</f>
        <v>0.27072916666666669</v>
      </c>
    </row>
    <row r="33" spans="1:7" x14ac:dyDescent="0.25">
      <c r="A33" t="str">
        <f t="shared" si="1"/>
        <v>Tatu Team</v>
      </c>
      <c r="B33" s="1">
        <f t="shared" si="2"/>
        <v>2.6875E-2</v>
      </c>
      <c r="C33" s="1">
        <f t="shared" ref="C33:F33" si="15">C14-B14</f>
        <v>1.7013888888888877E-3</v>
      </c>
      <c r="D33" s="1">
        <f t="shared" si="15"/>
        <v>0.1481712962962963</v>
      </c>
      <c r="E33" s="1">
        <f t="shared" si="15"/>
        <v>9.3402777777777668E-3</v>
      </c>
      <c r="F33" s="1">
        <f t="shared" si="15"/>
        <v>8.6562500000000014E-2</v>
      </c>
      <c r="G33" s="1">
        <f t="shared" si="4"/>
        <v>0.2616087962962963</v>
      </c>
    </row>
    <row r="34" spans="1:7" x14ac:dyDescent="0.25">
      <c r="A34" t="str">
        <f t="shared" si="1"/>
        <v>Tündérek</v>
      </c>
      <c r="B34" s="1">
        <f t="shared" si="2"/>
        <v>2.3472222222222221E-2</v>
      </c>
      <c r="C34" s="1">
        <f t="shared" ref="C34:F34" si="16">C15-B15</f>
        <v>1.3310185185185196E-3</v>
      </c>
      <c r="D34" s="1">
        <f t="shared" si="16"/>
        <v>0.13381944444444444</v>
      </c>
      <c r="E34" s="1">
        <f t="shared" si="16"/>
        <v>4.3981481481480955E-4</v>
      </c>
      <c r="F34" s="1">
        <f t="shared" si="16"/>
        <v>7.33449074074074E-2</v>
      </c>
      <c r="G34" s="1">
        <f t="shared" si="4"/>
        <v>0.23063657407407406</v>
      </c>
    </row>
    <row r="35" spans="1:7" x14ac:dyDescent="0.25">
      <c r="A35" t="str">
        <f t="shared" si="1"/>
        <v>Úszómászók</v>
      </c>
      <c r="B35" s="1">
        <f t="shared" si="2"/>
        <v>3.9710648148148148E-2</v>
      </c>
      <c r="C35" s="1">
        <f t="shared" ref="C35:F35" si="17">C16-B16</f>
        <v>1.4236111111111116E-3</v>
      </c>
      <c r="D35" s="1">
        <f t="shared" si="17"/>
        <v>0.15466435185185184</v>
      </c>
      <c r="E35" s="1">
        <f t="shared" si="17"/>
        <v>4.6296296296297057E-4</v>
      </c>
      <c r="F35" s="1">
        <f t="shared" si="17"/>
        <v>0.10293981481481479</v>
      </c>
      <c r="G35" s="1">
        <f t="shared" si="4"/>
        <v>0.29731481481481481</v>
      </c>
    </row>
    <row r="36" spans="1:7" x14ac:dyDescent="0.25">
      <c r="A36" t="str">
        <f t="shared" si="1"/>
        <v>UtánFutók</v>
      </c>
      <c r="B36" s="1">
        <f t="shared" si="2"/>
        <v>1.9722222222222221E-2</v>
      </c>
      <c r="C36" s="1">
        <f t="shared" ref="C36:F36" si="18">C17-B17</f>
        <v>8.9120370370370655E-4</v>
      </c>
      <c r="D36" s="1">
        <f t="shared" si="18"/>
        <v>0.14120370370370369</v>
      </c>
      <c r="E36" s="1">
        <f t="shared" si="18"/>
        <v>5.0925925925926485E-4</v>
      </c>
      <c r="F36" s="1">
        <f t="shared" si="18"/>
        <v>6.9340277777777765E-2</v>
      </c>
      <c r="G36" s="1">
        <f t="shared" si="4"/>
        <v>0.23026620370370368</v>
      </c>
    </row>
    <row r="37" spans="1:7" x14ac:dyDescent="0.25">
      <c r="A37" t="str">
        <f t="shared" si="1"/>
        <v>Zirci Mircik</v>
      </c>
      <c r="B37" s="1">
        <f t="shared" si="2"/>
        <v>2.2870370370370371E-2</v>
      </c>
      <c r="C37" s="1">
        <f t="shared" ref="C37:F37" si="19">C18-B18</f>
        <v>1.2037037037037034E-3</v>
      </c>
      <c r="D37" s="1">
        <f t="shared" si="19"/>
        <v>0.10658564814814814</v>
      </c>
      <c r="E37" s="1">
        <f t="shared" si="19"/>
        <v>5.7870370370372015E-4</v>
      </c>
      <c r="F37" s="1">
        <f t="shared" si="19"/>
        <v>7.0972222222222214E-2</v>
      </c>
      <c r="G37" s="1">
        <f t="shared" si="4"/>
        <v>0.20042824074074073</v>
      </c>
    </row>
    <row r="38" spans="1:7" x14ac:dyDescent="0.25">
      <c r="A38" t="s">
        <v>23</v>
      </c>
      <c r="B38" s="1">
        <f>AVERAGE(B21:B37)</f>
        <v>2.5185866013071892E-2</v>
      </c>
      <c r="D38" s="1">
        <f>AVERAGE(D21:D37)</f>
        <v>0.13197235838779955</v>
      </c>
      <c r="F38" s="1">
        <f>AVERAGE(F21:F37)</f>
        <v>7.6367783224400881E-2</v>
      </c>
    </row>
    <row r="39" spans="1:7" x14ac:dyDescent="0.25">
      <c r="A39" t="s">
        <v>24</v>
      </c>
      <c r="B39" s="1">
        <f>MIN(B21:B37)</f>
        <v>1.96875E-2</v>
      </c>
      <c r="D39" s="1">
        <f>MIN(D21:D37)</f>
        <v>9.3796296296296294E-2</v>
      </c>
      <c r="F39" s="1">
        <f>MIN(F21:F37)</f>
        <v>5.8171296296296277E-2</v>
      </c>
    </row>
    <row r="40" spans="1:7" x14ac:dyDescent="0.25">
      <c r="E40" s="1"/>
    </row>
  </sheetData>
  <mergeCells count="1">
    <mergeCell ref="H1:J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E30A9-5861-4EDE-B13F-EBE2B40F2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Triatlon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Köteles Marcell</cp:lastModifiedBy>
  <dcterms:created xsi:type="dcterms:W3CDTF">2025-09-10T06:11:14Z</dcterms:created>
  <dcterms:modified xsi:type="dcterms:W3CDTF">2025-09-16T09:30:12Z</dcterms:modified>
</cp:coreProperties>
</file>